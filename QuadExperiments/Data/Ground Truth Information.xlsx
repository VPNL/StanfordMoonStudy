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s in the world" sheetId="1" r:id="rId4"/>
    <sheet state="visible" name="Templates" sheetId="2" r:id="rId5"/>
  </sheets>
  <definedNames/>
  <calcPr/>
</workbook>
</file>

<file path=xl/sharedStrings.xml><?xml version="1.0" encoding="utf-8"?>
<sst xmlns="http://schemas.openxmlformats.org/spreadsheetml/2006/main" count="64" uniqueCount="54">
  <si>
    <t>Object</t>
  </si>
  <si>
    <t>Variable name in data csv</t>
  </si>
  <si>
    <t>Diameter/height [m]</t>
  </si>
  <si>
    <t>Distance [m]</t>
  </si>
  <si>
    <t>Visual angle [degrees]</t>
  </si>
  <si>
    <t xml:space="preserve">Lamp bulb 1 </t>
  </si>
  <si>
    <t xml:space="preserve">Lamp1 </t>
  </si>
  <si>
    <t>Lamp bulb 2</t>
  </si>
  <si>
    <t>Lamp2</t>
  </si>
  <si>
    <t>Lamp bulb 3</t>
  </si>
  <si>
    <t>Lamp3</t>
  </si>
  <si>
    <t>Lamp bulb 4</t>
  </si>
  <si>
    <t xml:space="preserve">Lamp4 </t>
  </si>
  <si>
    <t>Lamp bulb 1a</t>
  </si>
  <si>
    <t>Lamp1a</t>
  </si>
  <si>
    <t>Lamp bulb 2a</t>
  </si>
  <si>
    <t>Lamp2a</t>
  </si>
  <si>
    <t>Lamp bulb 3a</t>
  </si>
  <si>
    <t>Lamp3a</t>
  </si>
  <si>
    <t>Lamp bulb 4a</t>
  </si>
  <si>
    <t>Lamp4a</t>
  </si>
  <si>
    <t xml:space="preserve">Lamp post 1 </t>
  </si>
  <si>
    <t xml:space="preserve">Stick1 </t>
  </si>
  <si>
    <t>Lamp post 2</t>
  </si>
  <si>
    <t>Stick2</t>
  </si>
  <si>
    <t>Lamp post 3</t>
  </si>
  <si>
    <t>Stick3</t>
  </si>
  <si>
    <t>Lamp post 4</t>
  </si>
  <si>
    <t xml:space="preserve">Stick4 </t>
  </si>
  <si>
    <t>Inflatable moon ball 1</t>
  </si>
  <si>
    <t>Moon1</t>
  </si>
  <si>
    <t>Inflatable moon ball 2</t>
  </si>
  <si>
    <t>Moon2</t>
  </si>
  <si>
    <t>Inflatable moon ball 3</t>
  </si>
  <si>
    <t>Moon3</t>
  </si>
  <si>
    <t>Inflatable moon ball 4</t>
  </si>
  <si>
    <t>Moon4</t>
  </si>
  <si>
    <r>
      <rPr>
        <rFont val="Calibri"/>
      </rPr>
      <t xml:space="preserve">Moon info based on </t>
    </r>
    <r>
      <rPr>
        <rFont val="Calibri"/>
        <color rgb="FF1155CC"/>
        <u/>
      </rPr>
      <t>https://www.timeanddate.com/moon/@5398563</t>
    </r>
    <r>
      <rPr>
        <rFont val="Calibri"/>
      </rPr>
      <t xml:space="preserve"> </t>
    </r>
  </si>
  <si>
    <t>Full moon May 22, 2024</t>
  </si>
  <si>
    <t xml:space="preserve">moon </t>
  </si>
  <si>
    <t>Full moon July 20, 2024</t>
  </si>
  <si>
    <t>Full moon July 21, 2024</t>
  </si>
  <si>
    <t>Full moon August 19, 2024</t>
  </si>
  <si>
    <t>Full moon August 20, 2024</t>
  </si>
  <si>
    <t>Full moon October 16, 2024</t>
  </si>
  <si>
    <t>Full moon October 17, 2024</t>
  </si>
  <si>
    <t>Full moon November 15, 2024</t>
  </si>
  <si>
    <t>Full moon Janurary 12, 2025</t>
  </si>
  <si>
    <t>Full moon Janurary 13, 2025</t>
  </si>
  <si>
    <t>Full moon May 13, 2025</t>
  </si>
  <si>
    <t>Disks</t>
  </si>
  <si>
    <t>Diameter (cm)</t>
  </si>
  <si>
    <t>Sticks</t>
  </si>
  <si>
    <t>Length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</si>
</sst>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11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  <font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1F1F1F"/>
      <name val="Calibri"/>
    </font>
    <font>
      <color theme="1"/>
      <name val="Arial"/>
    </font>
    <font>
      <u/>
      <color rgb="FF0000FF"/>
      <name val="Calibri"/>
    </font>
    <font>
      <sz val="12.0"/>
      <color rgb="FF000000"/>
      <name val="&quot;Aptos Narrow&quot;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wrapText="1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2" xfId="0" applyAlignment="1" applyFont="1" applyNumberFormat="1">
      <alignment horizontal="left" readingOrder="0"/>
    </xf>
    <xf borderId="5" fillId="0" fontId="3" numFmtId="165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4" fillId="0" fontId="3" numFmtId="0" xfId="0" applyBorder="1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/>
    </xf>
    <xf borderId="0" fillId="0" fontId="2" numFmtId="2" xfId="0" applyAlignment="1" applyFont="1" applyNumberFormat="1">
      <alignment readingOrder="0"/>
    </xf>
    <xf borderId="0" fillId="0" fontId="2" numFmtId="2" xfId="0" applyAlignment="1" applyFont="1" applyNumberFormat="1">
      <alignment horizontal="left" readingOrder="0"/>
    </xf>
    <xf borderId="0" fillId="2" fontId="6" numFmtId="0" xfId="0" applyAlignment="1" applyFill="1" applyFont="1">
      <alignment horizontal="left" readingOrder="0" shrinkToFit="0" wrapText="0"/>
    </xf>
    <xf borderId="4" fillId="0" fontId="3" numFmtId="0" xfId="0" applyAlignment="1" applyBorder="1" applyFont="1">
      <alignment horizontal="left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4" fillId="0" fontId="8" numFmtId="0" xfId="0" applyAlignment="1" applyBorder="1" applyFont="1">
      <alignment horizontal="left" readingOrder="0"/>
    </xf>
    <xf borderId="0" fillId="0" fontId="9" numFmtId="0" xfId="0" applyAlignment="1" applyFont="1">
      <alignment horizontal="right" readingOrder="0" shrinkToFit="0" vertical="bottom" wrapText="0"/>
    </xf>
    <xf borderId="5" fillId="0" fontId="3" numFmtId="164" xfId="0" applyAlignment="1" applyBorder="1" applyFont="1" applyNumberFormat="1">
      <alignment horizontal="left"/>
    </xf>
    <xf borderId="6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left" readingOrder="0"/>
    </xf>
    <xf borderId="7" fillId="0" fontId="3" numFmtId="165" xfId="0" applyAlignment="1" applyBorder="1" applyFont="1" applyNumberFormat="1">
      <alignment horizontal="left" readingOrder="0"/>
    </xf>
    <xf borderId="8" fillId="0" fontId="3" numFmtId="164" xfId="0" applyAlignment="1" applyBorder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horizontal="left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5" numFmtId="2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anddate.com/moon/@539856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2.63"/>
    <col customWidth="1" min="3" max="3" width="14.75"/>
    <col customWidth="1" min="4" max="4" width="13.0"/>
    <col customWidth="1" min="5" max="5" width="16.38"/>
    <col customWidth="1" min="6" max="6" width="17.0"/>
    <col customWidth="1" min="7" max="7" width="8.5"/>
    <col customWidth="1" min="8" max="8" width="22.0"/>
    <col customWidth="1" min="11" max="12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7">
        <v>0.4064</v>
      </c>
      <c r="D2" s="8">
        <v>62.8</v>
      </c>
      <c r="E2" s="9">
        <f t="shared" ref="E2:E5" si="1">2*ATAN((C2/2)/D2)*(180/PI())</f>
        <v>0.3707790372</v>
      </c>
      <c r="F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 t="s">
        <v>7</v>
      </c>
      <c r="B3" s="6" t="s">
        <v>8</v>
      </c>
      <c r="C3" s="7">
        <v>0.4064</v>
      </c>
      <c r="D3" s="8">
        <v>20.2</v>
      </c>
      <c r="E3" s="9">
        <f t="shared" si="1"/>
        <v>1.15268413</v>
      </c>
      <c r="F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5" t="s">
        <v>9</v>
      </c>
      <c r="B4" s="6" t="s">
        <v>10</v>
      </c>
      <c r="C4" s="7">
        <v>0.4064</v>
      </c>
      <c r="D4" s="8">
        <v>50.27</v>
      </c>
      <c r="E4" s="9">
        <f t="shared" si="1"/>
        <v>0.4631962995</v>
      </c>
      <c r="F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5" t="s">
        <v>11</v>
      </c>
      <c r="B5" s="6" t="s">
        <v>12</v>
      </c>
      <c r="C5" s="7">
        <v>0.4064</v>
      </c>
      <c r="D5" s="8">
        <v>34.21</v>
      </c>
      <c r="E5" s="9">
        <f t="shared" si="1"/>
        <v>0.6806410687</v>
      </c>
      <c r="F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2"/>
      <c r="B6" s="13"/>
      <c r="C6" s="8"/>
      <c r="D6" s="8"/>
      <c r="E6" s="9"/>
      <c r="F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5" t="s">
        <v>13</v>
      </c>
      <c r="B7" s="6" t="s">
        <v>14</v>
      </c>
      <c r="C7" s="7">
        <v>0.4064</v>
      </c>
      <c r="D7" s="8">
        <v>66.7</v>
      </c>
      <c r="E7" s="9">
        <f t="shared" ref="E7:E10" si="2">2*ATAN((C7/2)/D7)*(180/PI())</f>
        <v>0.3490994417</v>
      </c>
      <c r="F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5" t="s">
        <v>15</v>
      </c>
      <c r="B8" s="6" t="s">
        <v>16</v>
      </c>
      <c r="C8" s="7">
        <v>0.4064</v>
      </c>
      <c r="D8" s="8">
        <v>22.5</v>
      </c>
      <c r="E8" s="9">
        <f t="shared" si="2"/>
        <v>1.034860968</v>
      </c>
      <c r="F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5" t="s">
        <v>17</v>
      </c>
      <c r="B9" s="6" t="s">
        <v>18</v>
      </c>
      <c r="C9" s="7">
        <v>0.4064</v>
      </c>
      <c r="D9" s="8">
        <v>48.9</v>
      </c>
      <c r="E9" s="9">
        <f t="shared" si="2"/>
        <v>0.4761732264</v>
      </c>
      <c r="F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5" t="s">
        <v>19</v>
      </c>
      <c r="B10" s="6" t="s">
        <v>20</v>
      </c>
      <c r="C10" s="7">
        <v>0.4064</v>
      </c>
      <c r="D10" s="8">
        <v>32.3</v>
      </c>
      <c r="E10" s="9">
        <f t="shared" si="2"/>
        <v>0.7208884712</v>
      </c>
      <c r="F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2"/>
      <c r="B11" s="13"/>
      <c r="C11" s="14"/>
      <c r="D11" s="8"/>
      <c r="E11" s="9"/>
      <c r="F11" s="15"/>
      <c r="N11" s="16"/>
      <c r="O11" s="1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5" t="s">
        <v>21</v>
      </c>
      <c r="B12" s="6" t="s">
        <v>22</v>
      </c>
      <c r="C12" s="18">
        <v>2.5908</v>
      </c>
      <c r="D12" s="8">
        <v>62.8</v>
      </c>
      <c r="E12" s="9">
        <f t="shared" ref="E12:E15" si="3">2*ATAN((C12/2)/D12)*(180/PI())</f>
        <v>2.36338945</v>
      </c>
      <c r="F12" s="11"/>
      <c r="G12" s="19"/>
      <c r="N12" s="2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5" t="s">
        <v>23</v>
      </c>
      <c r="B13" s="6" t="s">
        <v>24</v>
      </c>
      <c r="C13" s="21">
        <v>2.5908</v>
      </c>
      <c r="D13" s="8">
        <v>20.2</v>
      </c>
      <c r="E13" s="9">
        <f t="shared" si="3"/>
        <v>7.338560272</v>
      </c>
      <c r="F13" s="11"/>
      <c r="G13" s="19"/>
      <c r="N13" s="2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 t="s">
        <v>25</v>
      </c>
      <c r="B14" s="6" t="s">
        <v>26</v>
      </c>
      <c r="C14" s="21">
        <v>2.5908</v>
      </c>
      <c r="D14" s="8">
        <v>50.27</v>
      </c>
      <c r="E14" s="9">
        <f t="shared" si="3"/>
        <v>2.952239146</v>
      </c>
      <c r="F14" s="11"/>
      <c r="G14" s="19"/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0" customHeight="1">
      <c r="A15" s="5" t="s">
        <v>27</v>
      </c>
      <c r="B15" s="6" t="s">
        <v>28</v>
      </c>
      <c r="C15" s="21">
        <v>2.5908</v>
      </c>
      <c r="D15" s="8">
        <v>34.21</v>
      </c>
      <c r="E15" s="9">
        <f t="shared" si="3"/>
        <v>4.337065743</v>
      </c>
      <c r="F15" s="11"/>
      <c r="G15" s="19"/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22"/>
      <c r="B16" s="6"/>
      <c r="C16" s="14"/>
      <c r="D16" s="14"/>
      <c r="E16" s="9"/>
      <c r="F16" s="10"/>
      <c r="N16" s="10"/>
      <c r="O16" s="1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5" t="s">
        <v>29</v>
      </c>
      <c r="B17" s="6" t="s">
        <v>30</v>
      </c>
      <c r="C17" s="8">
        <v>0.55</v>
      </c>
      <c r="D17" s="8">
        <v>60.6</v>
      </c>
      <c r="E17" s="9">
        <f t="shared" ref="E17:E20" si="4">2*ATAN((C17/2)/D17)*(180/PI())</f>
        <v>0.5200076307</v>
      </c>
      <c r="F17" s="10"/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5" t="s">
        <v>31</v>
      </c>
      <c r="B18" s="6" t="s">
        <v>32</v>
      </c>
      <c r="C18" s="8">
        <v>0.55</v>
      </c>
      <c r="D18" s="8">
        <v>20.8</v>
      </c>
      <c r="E18" s="9">
        <f t="shared" si="4"/>
        <v>1.514944365</v>
      </c>
      <c r="F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5" t="s">
        <v>33</v>
      </c>
      <c r="B19" s="6" t="s">
        <v>34</v>
      </c>
      <c r="C19" s="8">
        <v>0.55</v>
      </c>
      <c r="D19" s="8">
        <v>47.2</v>
      </c>
      <c r="E19" s="9">
        <f t="shared" si="4"/>
        <v>0.6676339443</v>
      </c>
      <c r="F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5" t="s">
        <v>35</v>
      </c>
      <c r="B20" s="6" t="s">
        <v>36</v>
      </c>
      <c r="C20" s="8">
        <v>0.55</v>
      </c>
      <c r="D20" s="8">
        <v>32.7</v>
      </c>
      <c r="E20" s="9">
        <f t="shared" si="4"/>
        <v>0.9636677632</v>
      </c>
      <c r="F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22"/>
      <c r="B21" s="14"/>
      <c r="C21" s="14"/>
      <c r="D21" s="14"/>
      <c r="E21" s="9"/>
      <c r="F21" s="10"/>
      <c r="G21" s="23"/>
      <c r="I21" s="24"/>
      <c r="J21" s="25"/>
      <c r="K21" s="25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26" t="s">
        <v>37</v>
      </c>
      <c r="B22" s="6"/>
      <c r="C22" s="14"/>
      <c r="D22" s="14"/>
      <c r="E22" s="9"/>
      <c r="F22" s="10"/>
      <c r="G22" s="10"/>
      <c r="I22" s="2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5" t="s">
        <v>38</v>
      </c>
      <c r="B23" s="6" t="s">
        <v>39</v>
      </c>
      <c r="C23" s="6">
        <v>3476.0</v>
      </c>
      <c r="D23" s="6">
        <v>395235.5743</v>
      </c>
      <c r="E23" s="28">
        <f t="shared" ref="E23:E33" si="5">2*ATAN((C23/2)/D23)*(180/PI())</f>
        <v>0.5038990891</v>
      </c>
      <c r="F23" s="10"/>
      <c r="G23" s="10"/>
      <c r="I23" s="2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5" t="s">
        <v>40</v>
      </c>
      <c r="B24" s="6" t="s">
        <v>39</v>
      </c>
      <c r="C24" s="6">
        <v>3476.0</v>
      </c>
      <c r="D24" s="6">
        <v>374537.8</v>
      </c>
      <c r="E24" s="28">
        <f t="shared" si="5"/>
        <v>0.5317452607</v>
      </c>
      <c r="F24" s="10"/>
      <c r="G24" s="10"/>
      <c r="I24" s="27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5" t="s">
        <v>41</v>
      </c>
      <c r="B25" s="6" t="s">
        <v>39</v>
      </c>
      <c r="C25" s="6">
        <v>3476.0</v>
      </c>
      <c r="D25" s="6">
        <v>370232.8059</v>
      </c>
      <c r="E25" s="28">
        <f t="shared" si="5"/>
        <v>0.5379281994</v>
      </c>
      <c r="F25" s="10"/>
      <c r="G25" s="10"/>
      <c r="I25" s="2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5" t="s">
        <v>42</v>
      </c>
      <c r="B26" s="6" t="s">
        <v>39</v>
      </c>
      <c r="C26" s="6">
        <v>3476.0</v>
      </c>
      <c r="D26" s="6">
        <v>363080.881</v>
      </c>
      <c r="E26" s="28">
        <f t="shared" si="5"/>
        <v>0.5485240862</v>
      </c>
      <c r="F26" s="10"/>
      <c r="G26" s="10"/>
      <c r="H26" s="10"/>
      <c r="I26" s="2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5" t="s">
        <v>43</v>
      </c>
      <c r="B27" s="6" t="s">
        <v>39</v>
      </c>
      <c r="C27" s="6">
        <v>3476.0</v>
      </c>
      <c r="D27" s="6">
        <v>360803.6594</v>
      </c>
      <c r="E27" s="28">
        <f t="shared" si="5"/>
        <v>0.5519860567</v>
      </c>
      <c r="F27" s="10"/>
      <c r="G27" s="10"/>
      <c r="H27" s="10"/>
      <c r="I27" s="27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5" t="s">
        <v>44</v>
      </c>
      <c r="B28" s="6" t="s">
        <v>39</v>
      </c>
      <c r="C28" s="6">
        <v>3476.0</v>
      </c>
      <c r="D28" s="6">
        <v>357487.606</v>
      </c>
      <c r="E28" s="28">
        <f t="shared" si="5"/>
        <v>0.5571061965</v>
      </c>
      <c r="F28" s="10"/>
      <c r="G28" s="10"/>
      <c r="H28" s="10"/>
      <c r="I28" s="27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5" t="s">
        <v>45</v>
      </c>
      <c r="B29" s="6" t="s">
        <v>39</v>
      </c>
      <c r="C29" s="6">
        <v>3476.0</v>
      </c>
      <c r="D29" s="6">
        <v>357251.8372</v>
      </c>
      <c r="E29" s="28">
        <f t="shared" si="5"/>
        <v>0.5574738537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5" t="s">
        <v>46</v>
      </c>
      <c r="B30" s="6" t="s">
        <v>39</v>
      </c>
      <c r="C30" s="6">
        <v>3476.0</v>
      </c>
      <c r="D30" s="6">
        <v>361929.39552</v>
      </c>
      <c r="E30" s="28">
        <f t="shared" si="5"/>
        <v>0.5502691995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5" t="s">
        <v>47</v>
      </c>
      <c r="B31" s="6" t="s">
        <v>39</v>
      </c>
      <c r="C31" s="6">
        <v>3476.0</v>
      </c>
      <c r="D31" s="6">
        <v>379146.9623</v>
      </c>
      <c r="E31" s="28">
        <f t="shared" si="5"/>
        <v>0.5252811032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5" t="s">
        <v>48</v>
      </c>
      <c r="B32" s="6" t="s">
        <v>39</v>
      </c>
      <c r="C32" s="6">
        <v>3476.0</v>
      </c>
      <c r="D32" s="6">
        <v>376953.4</v>
      </c>
      <c r="E32" s="28">
        <f t="shared" si="5"/>
        <v>0.5283377689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29" t="s">
        <v>49</v>
      </c>
      <c r="B33" s="30" t="s">
        <v>39</v>
      </c>
      <c r="C33" s="30">
        <v>3476.0</v>
      </c>
      <c r="D33" s="31">
        <v>396614.583</v>
      </c>
      <c r="E33" s="32">
        <f t="shared" si="5"/>
        <v>0.5021470802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1"/>
      <c r="B34" s="11"/>
      <c r="C34" s="10"/>
      <c r="D34" s="10"/>
      <c r="E34" s="3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1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1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</sheetData>
  <hyperlinks>
    <hyperlink r:id="rId1" ref="A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50</v>
      </c>
      <c r="B1" s="34" t="s">
        <v>51</v>
      </c>
      <c r="C1" s="35"/>
      <c r="D1" s="34" t="s">
        <v>52</v>
      </c>
      <c r="E1" s="34" t="s">
        <v>53</v>
      </c>
      <c r="F1" s="25"/>
    </row>
    <row r="2">
      <c r="A2" s="36">
        <v>1.0</v>
      </c>
      <c r="B2" s="37">
        <v>0.3</v>
      </c>
      <c r="C2" s="38"/>
      <c r="D2" s="36">
        <v>1.0</v>
      </c>
      <c r="E2" s="36">
        <v>1.4</v>
      </c>
      <c r="F2" s="10"/>
    </row>
    <row r="3">
      <c r="A3" s="36">
        <v>2.0</v>
      </c>
      <c r="B3" s="36">
        <v>0.39</v>
      </c>
      <c r="C3" s="38"/>
      <c r="D3" s="36">
        <v>2.0</v>
      </c>
      <c r="E3" s="36">
        <v>1.66</v>
      </c>
      <c r="F3" s="10"/>
    </row>
    <row r="4">
      <c r="A4" s="36">
        <v>3.0</v>
      </c>
      <c r="B4" s="36">
        <v>0.49</v>
      </c>
      <c r="C4" s="38"/>
      <c r="D4" s="36">
        <v>3.0</v>
      </c>
      <c r="E4" s="36">
        <v>2.08</v>
      </c>
      <c r="F4" s="10"/>
    </row>
    <row r="5">
      <c r="A5" s="36">
        <v>4.0</v>
      </c>
      <c r="B5" s="36">
        <v>0.52</v>
      </c>
      <c r="C5" s="38"/>
      <c r="D5" s="36">
        <v>4.0</v>
      </c>
      <c r="E5" s="36">
        <v>2.22</v>
      </c>
      <c r="F5" s="10"/>
    </row>
    <row r="6">
      <c r="A6" s="36">
        <v>5.0</v>
      </c>
      <c r="B6" s="36">
        <v>0.65</v>
      </c>
      <c r="C6" s="38"/>
      <c r="D6" s="36">
        <v>5.0</v>
      </c>
      <c r="E6" s="36">
        <v>2.77</v>
      </c>
      <c r="F6" s="10"/>
    </row>
    <row r="7">
      <c r="A7" s="36">
        <v>6.0</v>
      </c>
      <c r="B7" s="36">
        <v>0.72</v>
      </c>
      <c r="C7" s="38"/>
      <c r="D7" s="36">
        <v>6.0</v>
      </c>
      <c r="E7" s="36">
        <v>3.05</v>
      </c>
      <c r="F7" s="10"/>
    </row>
    <row r="8">
      <c r="A8" s="36">
        <v>7.0</v>
      </c>
      <c r="B8" s="36">
        <v>0.78</v>
      </c>
      <c r="C8" s="38"/>
      <c r="D8" s="36">
        <v>7.0</v>
      </c>
      <c r="E8" s="36">
        <v>3.32</v>
      </c>
      <c r="F8" s="10"/>
    </row>
    <row r="9">
      <c r="A9" s="36">
        <v>8.0</v>
      </c>
      <c r="B9" s="36">
        <v>0.96</v>
      </c>
      <c r="C9" s="38"/>
      <c r="D9" s="36">
        <v>8.0</v>
      </c>
      <c r="E9" s="36">
        <v>4.07</v>
      </c>
      <c r="F9" s="10"/>
    </row>
    <row r="10">
      <c r="A10" s="37">
        <v>9.0</v>
      </c>
      <c r="B10" s="36">
        <v>0.98</v>
      </c>
      <c r="C10" s="38"/>
      <c r="D10" s="37">
        <v>9.0</v>
      </c>
      <c r="E10" s="36">
        <v>4.15</v>
      </c>
      <c r="F10" s="10"/>
    </row>
    <row r="11">
      <c r="A11" s="37">
        <v>10.0</v>
      </c>
      <c r="B11" s="39">
        <v>1.22</v>
      </c>
      <c r="C11" s="38"/>
      <c r="D11" s="37">
        <v>10.0</v>
      </c>
      <c r="E11" s="37">
        <v>5.17</v>
      </c>
      <c r="F11" s="15"/>
    </row>
    <row r="12">
      <c r="A12" s="37">
        <v>11.0</v>
      </c>
      <c r="B12" s="39">
        <v>1.44</v>
      </c>
      <c r="C12" s="38"/>
      <c r="D12" s="37">
        <v>11.0</v>
      </c>
      <c r="E12" s="37">
        <v>6.1</v>
      </c>
      <c r="F12" s="11"/>
    </row>
    <row r="13">
      <c r="A13" s="37">
        <v>12.0</v>
      </c>
      <c r="B13" s="39">
        <v>1.63</v>
      </c>
      <c r="C13" s="38"/>
      <c r="D13" s="37">
        <v>12.0</v>
      </c>
      <c r="E13" s="36">
        <v>6.89</v>
      </c>
      <c r="F13" s="11"/>
    </row>
    <row r="14">
      <c r="A14" s="37">
        <v>13.0</v>
      </c>
      <c r="B14" s="39">
        <v>1.9</v>
      </c>
      <c r="C14" s="38"/>
      <c r="D14" s="37">
        <v>13.0</v>
      </c>
      <c r="E14" s="37">
        <v>7.7</v>
      </c>
      <c r="F14" s="11"/>
    </row>
    <row r="15">
      <c r="A15" s="37">
        <v>14.0</v>
      </c>
      <c r="B15" s="39">
        <v>2.15</v>
      </c>
      <c r="C15" s="38"/>
      <c r="D15" s="37">
        <v>14.0</v>
      </c>
      <c r="E15" s="37">
        <v>9.0</v>
      </c>
      <c r="F15" s="40"/>
    </row>
    <row r="16">
      <c r="A16" s="36">
        <v>15.0</v>
      </c>
      <c r="B16" s="36">
        <v>2.44</v>
      </c>
      <c r="C16" s="38"/>
      <c r="D16" s="36">
        <v>15.0</v>
      </c>
      <c r="E16" s="36">
        <v>10.34</v>
      </c>
      <c r="F16" s="10"/>
    </row>
    <row r="17">
      <c r="A17" s="36">
        <v>16.0</v>
      </c>
      <c r="B17" s="36">
        <v>2.7</v>
      </c>
      <c r="C17" s="38"/>
      <c r="D17" s="36">
        <v>16.0</v>
      </c>
      <c r="E17" s="36">
        <v>11.0</v>
      </c>
      <c r="F17" s="10"/>
    </row>
    <row r="18">
      <c r="A18" s="36">
        <v>17.0</v>
      </c>
      <c r="B18" s="36">
        <v>3.3</v>
      </c>
      <c r="C18" s="38"/>
      <c r="D18" s="36">
        <v>17.0</v>
      </c>
      <c r="E18" s="36">
        <v>13.0</v>
      </c>
      <c r="F18" s="10"/>
    </row>
    <row r="19">
      <c r="A19" s="36">
        <v>18.0</v>
      </c>
      <c r="B19" s="36">
        <v>3.8</v>
      </c>
      <c r="C19" s="38"/>
      <c r="D19" s="36">
        <v>18.0</v>
      </c>
      <c r="E19" s="36">
        <v>15.0</v>
      </c>
      <c r="F19" s="10"/>
    </row>
    <row r="20">
      <c r="A20" s="36">
        <v>19.0</v>
      </c>
      <c r="B20" s="41">
        <v>4.0</v>
      </c>
      <c r="C20" s="38"/>
      <c r="D20" s="41">
        <v>19.0</v>
      </c>
      <c r="E20" s="18">
        <v>19.0</v>
      </c>
      <c r="F20" s="10"/>
    </row>
    <row r="21">
      <c r="A21" s="18">
        <v>20.0</v>
      </c>
      <c r="B21" s="18">
        <v>4.7</v>
      </c>
      <c r="C21" s="38"/>
      <c r="D21" s="18">
        <v>20.0</v>
      </c>
      <c r="E21" s="41">
        <v>24.0</v>
      </c>
    </row>
    <row r="22">
      <c r="A22" s="10"/>
      <c r="B22" s="10"/>
      <c r="C22" s="10"/>
      <c r="D22" s="10"/>
      <c r="E22" s="10"/>
    </row>
  </sheetData>
  <drawing r:id="rId1"/>
</worksheet>
</file>